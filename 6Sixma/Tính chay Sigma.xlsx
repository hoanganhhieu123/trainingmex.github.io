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CSMS\Training\6Sixma\"/>
    </mc:Choice>
  </mc:AlternateContent>
  <xr:revisionPtr revIDLastSave="0" documentId="8_{7047D8B2-E873-43DF-8BFB-61E2726477A2}" xr6:coauthVersionLast="47" xr6:coauthVersionMax="47" xr10:uidLastSave="{00000000-0000-0000-0000-000000000000}"/>
  <bookViews>
    <workbookView xWindow="-110" yWindow="-110" windowWidth="25820" windowHeight="15500" xr2:uid="{E8B36FAF-6279-4138-8DCA-BCBA201E9AB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A8" i="1"/>
  <c r="B8" i="1"/>
  <c r="C8" i="1"/>
  <c r="C10" i="1" s="1"/>
  <c r="D8" i="1"/>
  <c r="D10" i="1" s="1"/>
  <c r="A10" i="1"/>
  <c r="D12" i="1" s="1"/>
  <c r="D13" i="1" s="1"/>
  <c r="B10" i="1"/>
</calcChain>
</file>

<file path=xl/sharedStrings.xml><?xml version="1.0" encoding="utf-8"?>
<sst xmlns="http://schemas.openxmlformats.org/spreadsheetml/2006/main" count="16" uniqueCount="16">
  <si>
    <t>Sigma within:</t>
  </si>
  <si>
    <t xml:space="preserve">Phương sai trung bình: </t>
  </si>
  <si>
    <t>S4*S4</t>
  </si>
  <si>
    <t>S3*S3</t>
  </si>
  <si>
    <t>S2*S2</t>
  </si>
  <si>
    <t>S1*S1</t>
  </si>
  <si>
    <t>S4</t>
  </si>
  <si>
    <t>S3</t>
  </si>
  <si>
    <t>S2</t>
  </si>
  <si>
    <t>S1</t>
  </si>
  <si>
    <t>Sigma total</t>
  </si>
  <si>
    <t>Xbar</t>
  </si>
  <si>
    <t>GR4</t>
  </si>
  <si>
    <t>GR3</t>
  </si>
  <si>
    <t>GR2</t>
  </si>
  <si>
    <t>GR1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</si>
</sst>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46BE-BD35-4F5F-9B88-6F95F7573760}">
  <dimension ref="A1:G13"/>
  <sheetViews>
    <sheetView tabSelected="1" workbookViewId="0">
      <selection activeCell="D19" sqref="D19"/>
    </sheetView>
  </sheetViews>
  <sheetFormatPr defaultRowHeight="14.5" x14ac:dyDescent="0.35"/>
  <cols>
    <col min="1" max="4" width="8.7265625" style="1"/>
    <col min="6" max="6" width="9.81640625" bestFit="1" customWidth="1"/>
  </cols>
  <sheetData>
    <row r="1" spans="1:7" x14ac:dyDescent="0.35">
      <c r="A1" s="8" t="s">
        <v>15</v>
      </c>
      <c r="B1" s="8" t="s">
        <v>14</v>
      </c>
      <c r="C1" s="8" t="s">
        <v>13</v>
      </c>
      <c r="D1" s="8" t="s">
        <v>12</v>
      </c>
      <c r="F1" s="7" t="s">
        <v>11</v>
      </c>
      <c r="G1">
        <v>5.0149999999999997</v>
      </c>
    </row>
    <row r="2" spans="1:7" x14ac:dyDescent="0.35">
      <c r="A2" s="6">
        <v>2.1</v>
      </c>
      <c r="B2" s="6">
        <v>4.0999999999999996</v>
      </c>
      <c r="C2" s="6">
        <v>6</v>
      </c>
      <c r="D2" s="6">
        <v>8</v>
      </c>
      <c r="F2" s="7" t="s">
        <v>10</v>
      </c>
      <c r="G2">
        <f>STDEV($A$2:$D$6)</f>
        <v>2.2764873680392124</v>
      </c>
    </row>
    <row r="3" spans="1:7" x14ac:dyDescent="0.35">
      <c r="A3" s="6">
        <v>2.2000000000000002</v>
      </c>
      <c r="B3" s="6">
        <v>3.9</v>
      </c>
      <c r="C3" s="6">
        <v>6.2</v>
      </c>
      <c r="D3" s="6">
        <v>8.1</v>
      </c>
    </row>
    <row r="4" spans="1:7" x14ac:dyDescent="0.35">
      <c r="A4" s="6">
        <v>1.9</v>
      </c>
      <c r="B4" s="6">
        <v>4.2</v>
      </c>
      <c r="C4" s="6">
        <v>5.7</v>
      </c>
      <c r="D4" s="6">
        <v>8.1999999999999993</v>
      </c>
    </row>
    <row r="5" spans="1:7" x14ac:dyDescent="0.35">
      <c r="A5" s="6">
        <v>2.2999999999999998</v>
      </c>
      <c r="B5" s="6">
        <v>3.8</v>
      </c>
      <c r="C5" s="6">
        <v>6.3</v>
      </c>
      <c r="D5" s="6">
        <v>7.9</v>
      </c>
    </row>
    <row r="6" spans="1:7" x14ac:dyDescent="0.35">
      <c r="A6" s="6">
        <v>1.8</v>
      </c>
      <c r="B6" s="6">
        <v>4</v>
      </c>
      <c r="C6" s="6">
        <v>5.9</v>
      </c>
      <c r="D6" s="6">
        <v>7.7</v>
      </c>
    </row>
    <row r="7" spans="1:7" x14ac:dyDescent="0.35">
      <c r="A7" s="5" t="s">
        <v>9</v>
      </c>
      <c r="B7" s="5" t="s">
        <v>8</v>
      </c>
      <c r="C7" s="5" t="s">
        <v>7</v>
      </c>
      <c r="D7" s="5" t="s">
        <v>6</v>
      </c>
    </row>
    <row r="8" spans="1:7" x14ac:dyDescent="0.35">
      <c r="A8" s="4">
        <f>_xlfn.STDEV.P(A2:A6)</f>
        <v>0.18547236990991409</v>
      </c>
      <c r="B8" s="4">
        <f>_xlfn.STDEV.P(B2:B6)</f>
        <v>0.14142135623730956</v>
      </c>
      <c r="C8" s="4">
        <f>_xlfn.STDEV.P(C2:C6)</f>
        <v>0.2135415650406261</v>
      </c>
      <c r="D8" s="4">
        <f>_xlfn.STDEV.P(D2:D6)</f>
        <v>0.17204650534085222</v>
      </c>
    </row>
    <row r="9" spans="1:7" x14ac:dyDescent="0.35">
      <c r="A9" s="5" t="s">
        <v>5</v>
      </c>
      <c r="B9" s="5" t="s">
        <v>4</v>
      </c>
      <c r="C9" s="5" t="s">
        <v>3</v>
      </c>
      <c r="D9" s="5" t="s">
        <v>2</v>
      </c>
    </row>
    <row r="10" spans="1:7" x14ac:dyDescent="0.35">
      <c r="A10" s="4">
        <f>A8*A8</f>
        <v>3.4400000000000007E-2</v>
      </c>
      <c r="B10" s="4">
        <f>B8*B8</f>
        <v>2.0000000000000014E-2</v>
      </c>
      <c r="C10" s="4">
        <f>C8*C8</f>
        <v>4.5599999999999946E-2</v>
      </c>
      <c r="D10" s="4">
        <f>D8*D8</f>
        <v>2.9599999999999894E-2</v>
      </c>
    </row>
    <row r="12" spans="1:7" x14ac:dyDescent="0.35">
      <c r="A12" s="2" t="s">
        <v>1</v>
      </c>
      <c r="B12" s="2"/>
      <c r="C12" s="2"/>
      <c r="D12" s="3">
        <f>AVERAGE(A10:D10)</f>
        <v>3.2399999999999964E-2</v>
      </c>
    </row>
    <row r="13" spans="1:7" x14ac:dyDescent="0.35">
      <c r="A13" s="2" t="s">
        <v>0</v>
      </c>
      <c r="B13" s="2"/>
      <c r="C13" s="2"/>
      <c r="D13" s="1">
        <f>SQRT(D12)</f>
        <v>0.17999999999999991</v>
      </c>
    </row>
  </sheetData>
  <mergeCells count="2">
    <mergeCell ref="A13:C13"/>
    <mergeCell ref="A12:C12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2026-04-03T07:20:32Z</dcterms:created>
  <dcterms:modified xsi:type="dcterms:W3CDTF">2026-04-03T07:21:07Z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2026-04-03T07:20:36Z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8b733477-21d0-4cc1-af24-bd4d02a41cf6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